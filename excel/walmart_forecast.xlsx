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Za\Downloads\"/>
    </mc:Choice>
  </mc:AlternateContent>
  <xr:revisionPtr revIDLastSave="0" documentId="13_ncr:1_{E438FE64-FBBF-43EE-ADA1-41370BD6765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1" l="1"/>
  <c r="J4" i="1"/>
  <c r="F4" i="1"/>
  <c r="F2" i="1"/>
  <c r="E4" i="1"/>
  <c r="E2" i="1"/>
  <c r="J3" i="1"/>
  <c r="F3" i="1"/>
  <c r="E3" i="1"/>
  <c r="K3" i="1" l="1"/>
  <c r="K4" i="1"/>
  <c r="K2" i="1"/>
  <c r="K6" i="1" s="1"/>
</calcChain>
</file>

<file path=xl/sharedStrings.xml><?xml version="1.0" encoding="utf-8"?>
<sst xmlns="http://schemas.openxmlformats.org/spreadsheetml/2006/main" count="12" uniqueCount="11">
  <si>
    <t>month</t>
  </si>
  <si>
    <t>total_sales</t>
  </si>
  <si>
    <t>future_month</t>
  </si>
  <si>
    <t>forecast (FORECAST.ETS)</t>
  </si>
  <si>
    <t>margin_of_error (95% CI)</t>
  </si>
  <si>
    <t>actual</t>
  </si>
  <si>
    <t>forecast (trained excl. Aug-Oct 2012)</t>
  </si>
  <si>
    <t>error_pct</t>
  </si>
  <si>
    <t>Note: seasonality=12 (12-month cycle), based on confirmed Dec/Jan pattern from SQL analysis</t>
  </si>
  <si>
    <t>MAPE (avg of error_pct)</t>
  </si>
  <si>
    <t>Backtest: forecast trained only on Feb 2010-Jul 2012, tested against known Aug-Oct 2012 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</si>
</sst>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2" borderId="0" xfId="0" applyFont="1" applyFill="1" applyAlignment="1"/>
    <xf numFmtId="164" fontId="2" fillId="0" borderId="0" xfId="0" applyNumberFormat="1" applyFont="1" applyAlignment="1"/>
    <xf numFmtId="4" fontId="2" fillId="0" borderId="0" xfId="0" applyNumberFormat="1" applyFont="1" applyAlignment="1"/>
    <xf numFmtId="10" fontId="2" fillId="0" borderId="0" xfId="0" applyNumberFormat="1" applyFont="1" applyAlignment="1"/>
    <xf numFmtId="0" fontId="3" fillId="0" borderId="0" xfId="0" applyFont="1"/>
    <xf numFmtId="10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Normal="100" workbookViewId="0">
      <selection activeCell="J14" sqref="J14"/>
    </sheetView>
  </sheetViews>
  <sheetFormatPr defaultColWidth="8.6328125" defaultRowHeight="14.5" x14ac:dyDescent="0.35"/>
  <cols>
    <col min="1" max="1" width="12" style="1" customWidth="1"/>
    <col min="2" max="2" width="16" style="1" customWidth="1"/>
    <col min="3" max="3" width="3" style="1" customWidth="1"/>
    <col min="4" max="4" width="12" style="1" customWidth="1"/>
    <col min="5" max="5" width="23.90625" style="1" bestFit="1" customWidth="1"/>
    <col min="6" max="6" width="22.6328125" style="1" bestFit="1" customWidth="1"/>
    <col min="7" max="7" width="12.08984375" style="1" customWidth="1"/>
    <col min="8" max="8" width="12" style="1" customWidth="1"/>
    <col min="9" max="9" width="16" style="1" customWidth="1"/>
    <col min="10" max="10" width="32.90625" style="1" bestFit="1" customWidth="1"/>
    <col min="11" max="11" width="12" style="1" customWidth="1"/>
  </cols>
  <sheetData>
    <row r="1" spans="1:11" ht="15" customHeight="1" x14ac:dyDescent="0.35">
      <c r="A1" s="2" t="s">
        <v>0</v>
      </c>
      <c r="B1" s="2" t="s">
        <v>1</v>
      </c>
      <c r="D1" s="3" t="s">
        <v>2</v>
      </c>
      <c r="E1" s="3" t="s">
        <v>3</v>
      </c>
      <c r="F1" s="3" t="s">
        <v>4</v>
      </c>
      <c r="H1" s="3" t="s">
        <v>0</v>
      </c>
      <c r="I1" s="3" t="s">
        <v>5</v>
      </c>
      <c r="J1" s="3" t="s">
        <v>6</v>
      </c>
      <c r="K1" s="3" t="s">
        <v>7</v>
      </c>
    </row>
    <row r="2" spans="1:11" ht="15" customHeight="1" x14ac:dyDescent="0.35">
      <c r="A2" s="4">
        <v>40210</v>
      </c>
      <c r="B2" s="5">
        <v>190332983.03999999</v>
      </c>
      <c r="D2" s="4">
        <v>41214</v>
      </c>
      <c r="E2" s="5">
        <f>_xlfn.FORECAST.ETS(D2,$B$2:$B$34,$A$2:$A$34,12)</f>
        <v>213222563.93217522</v>
      </c>
      <c r="F2" s="5">
        <f>_xlfn.FORECAST.ETS.CONFINT(D2,$B$2:$B$34,$A$2:$A$34,0.95,12)</f>
        <v>40506741.972449325</v>
      </c>
      <c r="H2" s="4">
        <v>41122</v>
      </c>
      <c r="I2" s="5">
        <v>236850765.68000001</v>
      </c>
      <c r="J2" s="5">
        <f>_xlfn.FORECAST.ETS(H2,$B$2:$B$31,$A$2:$A$31,12)</f>
        <v>194849197.20644867</v>
      </c>
      <c r="K2" s="6">
        <f>ABS(I2-J2)/I2</f>
        <v>0.17733347136524794</v>
      </c>
    </row>
    <row r="3" spans="1:11" ht="15" customHeight="1" x14ac:dyDescent="0.35">
      <c r="A3" s="4">
        <v>40238</v>
      </c>
      <c r="B3" s="5">
        <v>181919802.5</v>
      </c>
      <c r="D3" s="4">
        <v>41244</v>
      </c>
      <c r="E3" s="5">
        <f>_xlfn.FORECAST.ETS(D3,$B$2:$B$34,$A$2:$A$34,12)</f>
        <v>294180456.66684914</v>
      </c>
      <c r="F3" s="5">
        <f>_xlfn.FORECAST.ETS.CONFINT(D3,$B$2:$B$34,$A$2:$A$34,0.95,12)</f>
        <v>40506924.252378069</v>
      </c>
      <c r="H3" s="4">
        <v>41153</v>
      </c>
      <c r="I3" s="5">
        <v>180645544.47</v>
      </c>
      <c r="J3" s="5">
        <f>_xlfn.FORECAST.ETS(H3,$B$2:$B$31,$A$2:$A$31,12)</f>
        <v>205240271.17896166</v>
      </c>
      <c r="K3" s="6">
        <f>ABS(I3-J3)/I3</f>
        <v>0.13614909120023239</v>
      </c>
    </row>
    <row r="4" spans="1:11" ht="15" customHeight="1" x14ac:dyDescent="0.35">
      <c r="A4" s="4">
        <v>40269</v>
      </c>
      <c r="B4" s="5">
        <v>231412368.05000001</v>
      </c>
      <c r="D4" s="4">
        <v>41275</v>
      </c>
      <c r="E4" s="5">
        <f>_xlfn.FORECAST.ETS(D4,$B$2:$B$34,$A$2:$A$34,12)</f>
        <v>172296136.80381292</v>
      </c>
      <c r="F4" s="5">
        <f>_xlfn.FORECAST.ETS.CONFINT(D4,$B$2:$B$34,$A$2:$A$34,0.95,12)</f>
        <v>40507248.30355943</v>
      </c>
      <c r="H4" s="4">
        <v>41183</v>
      </c>
      <c r="I4" s="5">
        <v>184361680.41999999</v>
      </c>
      <c r="J4" s="5">
        <f>_xlfn.FORECAST.ETS(H4,$B$2:$B$31,$A$2:$A$31,12)</f>
        <v>206338952.260465</v>
      </c>
      <c r="K4" s="6">
        <f>ABS(I4-J4)/I4</f>
        <v>0.11920737427863487</v>
      </c>
    </row>
    <row r="5" spans="1:11" ht="15" customHeight="1" x14ac:dyDescent="0.35">
      <c r="A5" s="4">
        <v>40299</v>
      </c>
      <c r="B5" s="5">
        <v>186710934.34</v>
      </c>
    </row>
    <row r="6" spans="1:11" ht="15" customHeight="1" x14ac:dyDescent="0.35">
      <c r="A6" s="4">
        <v>40330</v>
      </c>
      <c r="B6" s="5">
        <v>192246172.36000001</v>
      </c>
      <c r="D6" s="7" t="s">
        <v>8</v>
      </c>
      <c r="H6" s="2" t="s">
        <v>9</v>
      </c>
      <c r="K6" s="8">
        <f>AVERAGE(K2:K4)</f>
        <v>0.14422997894803841</v>
      </c>
    </row>
    <row r="7" spans="1:11" ht="15" customHeight="1" x14ac:dyDescent="0.35">
      <c r="A7" s="4">
        <v>40360</v>
      </c>
      <c r="B7" s="5">
        <v>232580125.97999999</v>
      </c>
    </row>
    <row r="8" spans="1:11" ht="15" customHeight="1" x14ac:dyDescent="0.35">
      <c r="A8" s="4">
        <v>40391</v>
      </c>
      <c r="B8" s="5">
        <v>187640110.88999999</v>
      </c>
      <c r="H8" s="7" t="s">
        <v>10</v>
      </c>
    </row>
    <row r="9" spans="1:11" ht="15" customHeight="1" x14ac:dyDescent="0.35">
      <c r="A9" s="4">
        <v>40422</v>
      </c>
      <c r="B9" s="5">
        <v>177267896.37</v>
      </c>
    </row>
    <row r="10" spans="1:11" ht="15" customHeight="1" x14ac:dyDescent="0.35">
      <c r="A10" s="4">
        <v>40452</v>
      </c>
      <c r="B10" s="5">
        <v>217161824.02000001</v>
      </c>
    </row>
    <row r="11" spans="1:11" ht="15" customHeight="1" x14ac:dyDescent="0.35">
      <c r="A11" s="4">
        <v>40483</v>
      </c>
      <c r="B11" s="5">
        <v>202853370.13999999</v>
      </c>
    </row>
    <row r="12" spans="1:11" ht="15" customHeight="1" x14ac:dyDescent="0.35">
      <c r="A12" s="4">
        <v>40513</v>
      </c>
      <c r="B12" s="5">
        <v>288760532.72000003</v>
      </c>
    </row>
    <row r="13" spans="1:11" ht="15" customHeight="1" x14ac:dyDescent="0.35">
      <c r="A13" s="4">
        <v>40544</v>
      </c>
      <c r="B13" s="5">
        <v>163703966.83000001</v>
      </c>
    </row>
    <row r="14" spans="1:11" ht="15" customHeight="1" x14ac:dyDescent="0.35">
      <c r="A14" s="4">
        <v>40575</v>
      </c>
      <c r="B14" s="5">
        <v>186331327.87</v>
      </c>
    </row>
    <row r="15" spans="1:11" ht="15" customHeight="1" x14ac:dyDescent="0.35">
      <c r="A15" s="4">
        <v>40603</v>
      </c>
      <c r="B15" s="5">
        <v>179356448.28999999</v>
      </c>
    </row>
    <row r="16" spans="1:11" ht="15" customHeight="1" x14ac:dyDescent="0.35">
      <c r="A16" s="4">
        <v>40634</v>
      </c>
      <c r="B16" s="5">
        <v>226526510.97</v>
      </c>
    </row>
    <row r="17" spans="1:2" ht="15" customHeight="1" x14ac:dyDescent="0.35">
      <c r="A17" s="4">
        <v>40664</v>
      </c>
      <c r="B17" s="5">
        <v>181648158.16</v>
      </c>
    </row>
    <row r="18" spans="1:2" ht="15" customHeight="1" x14ac:dyDescent="0.35">
      <c r="A18" s="4">
        <v>40695</v>
      </c>
      <c r="B18" s="5">
        <v>189773385.19</v>
      </c>
    </row>
    <row r="19" spans="1:2" ht="15" customHeight="1" x14ac:dyDescent="0.35">
      <c r="A19" s="4">
        <v>40725</v>
      </c>
      <c r="B19" s="5">
        <v>229911398.87</v>
      </c>
    </row>
    <row r="20" spans="1:2" ht="15" customHeight="1" x14ac:dyDescent="0.35">
      <c r="A20" s="4">
        <v>40756</v>
      </c>
      <c r="B20" s="5">
        <v>188599332.25</v>
      </c>
    </row>
    <row r="21" spans="1:2" ht="15" customHeight="1" x14ac:dyDescent="0.35">
      <c r="A21" s="4">
        <v>40787</v>
      </c>
      <c r="B21" s="5">
        <v>220847738.41999999</v>
      </c>
    </row>
    <row r="22" spans="1:2" ht="15" customHeight="1" x14ac:dyDescent="0.35">
      <c r="A22" s="4">
        <v>40817</v>
      </c>
      <c r="B22" s="5">
        <v>183261283.15000001</v>
      </c>
    </row>
    <row r="23" spans="1:2" ht="15" customHeight="1" x14ac:dyDescent="0.35">
      <c r="A23" s="4">
        <v>40848</v>
      </c>
      <c r="B23" s="5">
        <v>210162354.87</v>
      </c>
    </row>
    <row r="24" spans="1:2" ht="15" customHeight="1" x14ac:dyDescent="0.35">
      <c r="A24" s="4">
        <v>40878</v>
      </c>
      <c r="B24" s="5">
        <v>288078102.48000002</v>
      </c>
    </row>
    <row r="25" spans="1:2" ht="15" customHeight="1" x14ac:dyDescent="0.35">
      <c r="A25" s="4">
        <v>40909</v>
      </c>
      <c r="B25" s="5">
        <v>168894471.66</v>
      </c>
    </row>
    <row r="26" spans="1:2" ht="15" customHeight="1" x14ac:dyDescent="0.35">
      <c r="A26" s="4">
        <v>40940</v>
      </c>
      <c r="B26" s="5">
        <v>192063579.53999999</v>
      </c>
    </row>
    <row r="27" spans="1:2" ht="15" customHeight="1" x14ac:dyDescent="0.35">
      <c r="A27" s="4">
        <v>40969</v>
      </c>
      <c r="B27" s="5">
        <v>231509650.49000001</v>
      </c>
    </row>
    <row r="28" spans="1:2" ht="15" customHeight="1" x14ac:dyDescent="0.35">
      <c r="A28" s="4">
        <v>41000</v>
      </c>
      <c r="B28" s="5">
        <v>188920905.94999999</v>
      </c>
    </row>
    <row r="29" spans="1:2" ht="15" customHeight="1" x14ac:dyDescent="0.35">
      <c r="A29" s="4">
        <v>41030</v>
      </c>
      <c r="B29" s="5">
        <v>188766479.44999999</v>
      </c>
    </row>
    <row r="30" spans="1:2" ht="15" customHeight="1" x14ac:dyDescent="0.35">
      <c r="A30" s="4">
        <v>41061</v>
      </c>
      <c r="B30" s="5">
        <v>240610329.28999999</v>
      </c>
    </row>
    <row r="31" spans="1:2" ht="15" customHeight="1" x14ac:dyDescent="0.35">
      <c r="A31" s="4">
        <v>41091</v>
      </c>
      <c r="B31" s="5">
        <v>187509452.40000001</v>
      </c>
    </row>
    <row r="32" spans="1:2" ht="15" customHeight="1" x14ac:dyDescent="0.35">
      <c r="A32" s="4">
        <v>41122</v>
      </c>
      <c r="B32" s="5">
        <v>236850765.68000001</v>
      </c>
    </row>
    <row r="33" spans="1:2" ht="15" customHeight="1" x14ac:dyDescent="0.35">
      <c r="A33" s="4">
        <v>41153</v>
      </c>
      <c r="B33" s="5">
        <v>180645544.47</v>
      </c>
    </row>
    <row r="34" spans="1:2" ht="15" customHeight="1" x14ac:dyDescent="0.35">
      <c r="A34" s="4">
        <v>41183</v>
      </c>
      <c r="B34" s="5">
        <v>184361680.41999999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shahyasir443@gmail.com</cp:lastModifiedBy>
  <cp:revision>0</cp:revision>
  <dcterms:created xsi:type="dcterms:W3CDTF">2026-08-27T22:23:05Z</dcterms:created>
  <dcterms:modified xsi:type="dcterms:W3CDTF">2026-08-30T09:53:28Z</dcterms:modified>
  <dc:language>en-US</dc:language>
</cp:coreProperties>
</file>